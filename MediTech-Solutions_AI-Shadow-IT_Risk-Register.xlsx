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isk Register" sheetId="1" state="visible" r:id="rId2"/>
    <sheet name="Scoring Matrix" sheetId="2"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<sst xmlns="http://schemas.openxmlformats.org/spreadsheetml/2006/main" count="105" uniqueCount="99">
  <si>
    <t xml:space="preserve">Learning Project: Not Professional Work. This register contains entirely fictional risks created for a self-directed educational exercise.</t>
  </si>
  <si>
    <t xml:space="preserve">Risk ID</t>
  </si>
  <si>
    <t xml:space="preserve">Risk Category</t>
  </si>
  <si>
    <t xml:space="preserve">Asset Affected</t>
  </si>
  <si>
    <t xml:space="preserve">Threat Description</t>
  </si>
  <si>
    <t xml:space="preserve">Vulnerability Exploited</t>
  </si>
  <si>
    <t xml:space="preserve">Inherent Likelihood (1-5)</t>
  </si>
  <si>
    <t xml:space="preserve">Inherent Impact (1-5)</t>
  </si>
  <si>
    <t xml:space="preserve">Inherent Risk Score</t>
  </si>
  <si>
    <t xml:space="preserve">Proposed Control</t>
  </si>
  <si>
    <t xml:space="preserve">Control Type</t>
  </si>
  <si>
    <t xml:space="preserve">Residual Likelihood (1-5)</t>
  </si>
  <si>
    <t xml:space="preserve">Residual Impact (1-5)</t>
  </si>
  <si>
    <t xml:space="preserve">Residual Risk Score</t>
  </si>
  <si>
    <t xml:space="preserve">Risk Owner</t>
  </si>
  <si>
    <t xml:space="preserve">Target Review Date</t>
  </si>
  <si>
    <t xml:space="preserve">MEDI-AI-001</t>
  </si>
  <si>
    <t xml:space="preserve">Data Protection and Privacy</t>
  </si>
  <si>
    <t xml:space="preserve">Customer personally identifiable information and protected health information stored in the electronic health record system</t>
  </si>
  <si>
    <t xml:space="preserve">An employee pastes raw patient referral notes containing unredacted names, NHS numbers, and clinical details into a public generative AI tool to summarise the referral letter for a consultant. The data is transmitted to and processed on infrastructure outside MediTech's control and may be used to train the vendor's models.</t>
  </si>
  <si>
    <t xml:space="preserve">No data loss prevention controls monitor or block the flow of sensitive data into browser based AI tools. No formal policy prohibits or guides this behaviour. Employees are unaware that public AI tools are not confidential environments.</t>
  </si>
  <si>
    <t xml:space="preserve">Deploy a cloud access security broker with browser extension capability to detect and block the pasting of sensitive data patterns, such as NHS numbers, into unauthorised web applications. Implement a mandatory annual training module titled 'Protecting Patient Data in the Age of AI' assigned to all clinical and administrative staff.</t>
  </si>
  <si>
    <t xml:space="preserve">Technical (CASB) and Administrative (training)</t>
  </si>
  <si>
    <t xml:space="preserve">Chief Data Protection Officer</t>
  </si>
  <si>
    <t xml:space="preserve">Three months after implementation</t>
  </si>
  <si>
    <t xml:space="preserve">MEDI-AI-002</t>
  </si>
  <si>
    <t xml:space="preserve">Intellectual Property and Competitive Strategy</t>
  </si>
  <si>
    <t xml:space="preserve">Proprietary research data on a new medical device algorithm currently under patent application</t>
  </si>
  <si>
    <t xml:space="preserve">A research engineer uploads a segment of the proprietary algorithm into a public generative AI tool to seek optimisation suggestions. The tool's terms of service grant the vendor a broad licence to use uploaded content. The algorithm's novelty could be inadvertently surfaced in another user's output, undermining the patent application.</t>
  </si>
  <si>
    <t xml:space="preserve">The research team lacks a segregated, approved environment for AI assisted coding and mathematical optimisation. The existing code repository policy does not address AI tools. Employees perceive the risk as theoretical.</t>
  </si>
  <si>
    <t xml:space="preserve">Provision a private, enterprise licensed generative AI coding assistant with contractual data usage guarantees that exclude training on customer inputs. Update the information classification and handling policy to explicitly designate pre patent algorithm code as 'Restricted' and prohibit its use in any public AI service. Conduct a one hour briefing for the research and development team on intellectual property risks in AI tooling.</t>
  </si>
  <si>
    <t xml:space="preserve">Technical (private AI instance) and Administrative (policy update and briefing)</t>
  </si>
  <si>
    <t xml:space="preserve">Head of Research and Development</t>
  </si>
  <si>
    <t xml:space="preserve">Six months after implementation</t>
  </si>
  <si>
    <t xml:space="preserve">MEDI-AI-003</t>
  </si>
  <si>
    <t xml:space="preserve">Legal and Regulatory Compliance</t>
  </si>
  <si>
    <t xml:space="preserve">MediTech Solutions UK GDPR compliance posture and regulatory standing with the Information Commissioner's Office</t>
  </si>
  <si>
    <t xml:space="preserve">Multiple departments use different free AI transcription tools to convert recorded client meetings into text. These recordings and transcripts are stored in personal cloud accounts. There is no data processing agreement in place with any of the transcription tool vendors. No record of processing activity has been created for this workflow. A data subject access request would fail to locate these records.</t>
  </si>
  <si>
    <t xml:space="preserve">Procurement of software as a service is decentralised. Employees can expense tools under a threshold without IT or legal review. No data protection impact assessment has been conducted for AI based transcription.</t>
  </si>
  <si>
    <t xml:space="preserve">Conduct an urgent data protection impact assessment for the use of AI transcription tools. Issue a company wide communication requiring all departments to register their AI tool usage with the privacy team within 14 days. Standardise on a single enterprise licensed transcription tool with an executed data processing agreement and UK based data storage. Update the record of processing activities within 30 days.</t>
  </si>
  <si>
    <t xml:space="preserve">Administrative (DPIA, communication, RoPA update) and Technical (standardised tool)</t>
  </si>
  <si>
    <t xml:space="preserve">Data Protection Officer</t>
  </si>
  <si>
    <t xml:space="preserve">One month after implementation</t>
  </si>
  <si>
    <t xml:space="preserve">MEDI-AI-004</t>
  </si>
  <si>
    <t xml:space="preserve">Operational Resilience and Decision Quality</t>
  </si>
  <si>
    <t xml:space="preserve">Clinical triage recommendation process used by the nursing advice line</t>
  </si>
  <si>
    <t xml:space="preserve">Nurses on the telephone advice line begin using a public AI chatbot as an informal second opinion during patient calls. The AI occasionally provides plausible but clinically unsafe advice. A nurse follows the AI suggestion without clinical validation. The patient's condition worsens because the correct escalation pathway was not followed.</t>
  </si>
  <si>
    <t xml:space="preserve">There is no approved decision support protocol for the triage process. Staff workload pressure incentivises shortcuts. The organisation has not issued guidance on the clinical use or non use of unvalidated AI tools.</t>
  </si>
  <si>
    <t xml:space="preserve">Issue a clinical safety directive explicitly prohibiting the use of unvalidated AI tools for any stage of the patient triage or clinical decision process. Communicate this directive via line managers and the clinical governance committee. Explore the procurement of a validated, medically certified clinical decision support tool as a longer term project, subject to full clinical safety assurance and procurement review.</t>
  </si>
  <si>
    <t xml:space="preserve">Administrative (directive and governance review)</t>
  </si>
  <si>
    <t xml:space="preserve">Clinical Governance Lead</t>
  </si>
  <si>
    <t xml:space="preserve">Two months after implementation</t>
  </si>
  <si>
    <t xml:space="preserve">MEDI-AI-005</t>
  </si>
  <si>
    <t xml:space="preserve">Reputational and Trust</t>
  </si>
  <si>
    <t xml:space="preserve">Public trust in MediTech Solutions and its brand reputation</t>
  </si>
  <si>
    <t xml:space="preserve">A marketing intern generates social media copy using a public AI tool and inadvertently publishes text that contains a hallucinated claim about a MediTech product. The claim is factually incorrect and misleading to patients. A healthcare regulator notices the post and initiates an inquiry. The story is picked up by industry media.</t>
  </si>
  <si>
    <t xml:space="preserve">No review process exists for AI generated marketing content. The marketing team treats the AI output as a draft without mandatory human fact checking. The social media schedule is not subject to regulatory review before posting.</t>
  </si>
  <si>
    <t xml:space="preserve">Update the marketing content approval workflow to require explicit human verification of all factual claims, with a mandatory check step for any content that has been AI generated or AI assisted. Add a specific clause to the marketing team's standard operating procedures stating that AI hallucination is a known risk and that all outputs must be treated as unverified until checked. Provide a one hour awareness session to the marketing department.</t>
  </si>
  <si>
    <t xml:space="preserve">Administrative (process update and training)</t>
  </si>
  <si>
    <t xml:space="preserve">Head of Marketing and Communications</t>
  </si>
  <si>
    <t xml:space="preserve">Risk Scoring Matrix</t>
  </si>
  <si>
    <t xml:space="preserve">Likelihood Scale</t>
  </si>
  <si>
    <t xml:space="preserve">Score</t>
  </si>
  <si>
    <t xml:space="preserve">Description</t>
  </si>
  <si>
    <t xml:space="preserve">Frequency</t>
  </si>
  <si>
    <t xml:space="preserve">Very Low</t>
  </si>
  <si>
    <t xml:space="preserve">Once in 10 years</t>
  </si>
  <si>
    <t xml:space="preserve">Low</t>
  </si>
  <si>
    <t xml:space="preserve">Once in 5 years</t>
  </si>
  <si>
    <t xml:space="preserve">Medium</t>
  </si>
  <si>
    <t xml:space="preserve">Once per year</t>
  </si>
  <si>
    <t xml:space="preserve">High</t>
  </si>
  <si>
    <t xml:space="preserve">Several times per year</t>
  </si>
  <si>
    <t xml:space="preserve">Very High</t>
  </si>
  <si>
    <t xml:space="preserve">Multiple times per month</t>
  </si>
  <si>
    <t xml:space="preserve">Impact Scale</t>
  </si>
  <si>
    <t xml:space="preserve">Effect</t>
  </si>
  <si>
    <t xml:space="preserve">Negligible</t>
  </si>
  <si>
    <t xml:space="preserve">No noticeable effect</t>
  </si>
  <si>
    <t xml:space="preserve">Minor</t>
  </si>
  <si>
    <t xml:space="preserve">Limited operational impact, quickly recoverable</t>
  </si>
  <si>
    <t xml:space="preserve">Moderate</t>
  </si>
  <si>
    <t xml:space="preserve">Noticeable operational disruption, some recovery effort</t>
  </si>
  <si>
    <t xml:space="preserve">Major</t>
  </si>
  <si>
    <t xml:space="preserve">Significant operational impact, substantial recovery needed</t>
  </si>
  <si>
    <t xml:space="preserve">Catastrophic</t>
  </si>
  <si>
    <t xml:space="preserve">Regulatory fine, major reputational damage, significant financial loss</t>
  </si>
  <si>
    <t xml:space="preserve">Risk Score Calculation</t>
  </si>
  <si>
    <t xml:space="preserve">Risk Score = Likelihood × Impact</t>
  </si>
  <si>
    <t xml:space="preserve">Risk Rating Scale</t>
  </si>
  <si>
    <t xml:space="preserve">Score Range</t>
  </si>
  <si>
    <t xml:space="preserve">Rating</t>
  </si>
  <si>
    <t xml:space="preserve">Color</t>
  </si>
  <si>
    <t xml:space="preserve">1 to 6</t>
  </si>
  <si>
    <t xml:space="preserve">Green</t>
  </si>
  <si>
    <t xml:space="preserve">7 to 14</t>
  </si>
  <si>
    <t xml:space="preserve">Amber</t>
  </si>
  <si>
    <t xml:space="preserve">15 to 25</t>
  </si>
  <si>
    <t xml:space="preserve">Red</t>
  </si>
</sst>
</file>

<file path=xl/styles.xml><?xml version="1.0" encoding="utf-8"?>
<styleSheet xmlns="http://schemas.openxmlformats.org/spreadsheetml/2006/main">
  <numFmts count="2">
    <numFmt numFmtId="164" formatCode="General"/>
    <numFmt numFmtId="165" formatCode="General"/>
  </numFmts>
  <fonts count="9">
    <font>
      <sz val="11"/>
      <color rgb="FF000000"/>
      <name val="Calibri"/>
      <family val="2"/>
      <charset val="1"/>
    </font>
    <font>
      <sz val="10"/>
      <name val="Arial"/>
      <family val="0"/>
    </font>
    <font>
      <sz val="10"/>
      <name val="Arial"/>
      <family val="0"/>
    </font>
    <font>
      <sz val="10"/>
      <name val="Arial"/>
      <family val="0"/>
    </font>
    <font>
      <i val="true"/>
      <sz val="10"/>
      <color rgb="FF666666"/>
      <name val="Cambria"/>
      <family val="0"/>
      <charset val="1"/>
    </font>
    <font>
      <b val="true"/>
      <sz val="10"/>
      <color rgb="FFFFFFFF"/>
      <name val="Cambria"/>
      <family val="0"/>
      <charset val="1"/>
    </font>
    <font>
      <b val="true"/>
      <sz val="14"/>
      <name val="Cambria"/>
      <family val="0"/>
      <charset val="1"/>
    </font>
    <font>
      <b val="true"/>
      <sz val="11"/>
      <name val="Cambria"/>
      <family val="0"/>
      <charset val="1"/>
    </font>
    <font>
      <b val="true"/>
      <sz val="11"/>
      <color rgb="FFFFFFFF"/>
      <name val="Cambria"/>
      <family val="0"/>
      <charset val="1"/>
    </font>
  </fonts>
  <fills count="7">
    <fill>
      <patternFill patternType="none"/>
    </fill>
    <fill>
      <patternFill patternType="gray125"/>
    </fill>
    <fill>
      <patternFill patternType="solid">
        <fgColor rgb="FF1F4E78"/>
        <bgColor rgb="FF003366"/>
      </patternFill>
    </fill>
    <fill>
      <patternFill patternType="solid">
        <fgColor rgb="FF4472C4"/>
        <bgColor rgb="FF666666"/>
      </patternFill>
    </fill>
    <fill>
      <patternFill patternType="solid">
        <fgColor rgb="FF92D050"/>
        <bgColor rgb="FFC0C0C0"/>
      </patternFill>
    </fill>
    <fill>
      <patternFill patternType="solid">
        <fgColor rgb="FFFFC000"/>
        <bgColor rgb="FFFF9900"/>
      </patternFill>
    </fill>
    <fill>
      <patternFill patternType="solid">
        <fgColor rgb="FFFF0000"/>
        <bgColor rgb="FF993300"/>
      </patternFill>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general" vertical="center" textRotation="0" wrapText="true" indent="0" shrinkToFit="false"/>
      <protection locked="true" hidden="false"/>
    </xf>
    <xf numFmtId="164" fontId="5" fillId="2" borderId="1" xfId="0" applyFont="true" applyBorder="true" applyAlignment="true" applyProtection="false">
      <alignment horizontal="center" vertical="center" textRotation="0" wrapText="true" indent="0" shrinkToFit="false"/>
      <protection locked="true" hidden="false"/>
    </xf>
    <xf numFmtId="164" fontId="0" fillId="0" borderId="1" xfId="0" applyFont="true" applyBorder="true" applyAlignment="true" applyProtection="false">
      <alignment horizontal="general" vertical="top" textRotation="0" wrapText="true" indent="0" shrinkToFit="false"/>
      <protection locked="true" hidden="false"/>
    </xf>
    <xf numFmtId="165" fontId="0" fillId="0" borderId="1" xfId="0" applyFont="false" applyBorder="true" applyAlignment="true" applyProtection="false">
      <alignment horizontal="center" vertical="center" textRotation="0" wrapText="false" indent="0" shrinkToFit="false"/>
      <protection locked="true" hidden="false"/>
    </xf>
    <xf numFmtId="164" fontId="6" fillId="0" borderId="0" xfId="0" applyFont="true" applyBorder="true" applyAlignment="true" applyProtection="false">
      <alignment horizontal="center"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3" borderId="1" xfId="0" applyFont="true" applyBorder="true" applyAlignment="false" applyProtection="false">
      <alignment horizontal="general" vertical="bottom"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4" fontId="0" fillId="4" borderId="1" xfId="0" applyFont="false" applyBorder="true" applyAlignment="false" applyProtection="false">
      <alignment horizontal="general" vertical="bottom" textRotation="0" wrapText="false" indent="0" shrinkToFit="false"/>
      <protection locked="true" hidden="false"/>
    </xf>
    <xf numFmtId="164" fontId="0" fillId="5" borderId="1" xfId="0" applyFont="true" applyBorder="true" applyAlignment="false" applyProtection="false">
      <alignment horizontal="general" vertical="bottom" textRotation="0" wrapText="false" indent="0" shrinkToFit="false"/>
      <protection locked="true" hidden="false"/>
    </xf>
    <xf numFmtId="164" fontId="8" fillId="6" borderId="1"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4472C4"/>
      <rgbColor rgb="FF33CCCC"/>
      <rgbColor rgb="FF92D050"/>
      <rgbColor rgb="FFFFC000"/>
      <rgbColor rgb="FFFF9900"/>
      <rgbColor rgb="FFFF6600"/>
      <rgbColor rgb="FF666666"/>
      <rgbColor rgb="FF969696"/>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O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875" defaultRowHeight="15" zeroHeight="false" outlineLevelRow="0" outlineLevelCol="0"/>
  <cols>
    <col collapsed="false" customWidth="true" hidden="false" outlineLevel="0" max="1" min="1" style="0" width="11.99"/>
    <col collapsed="false" customWidth="true" hidden="false" outlineLevel="0" max="2" min="2" style="0" width="26"/>
    <col collapsed="false" customWidth="true" hidden="false" outlineLevel="0" max="3" min="3" style="0" width="44.99"/>
    <col collapsed="false" customWidth="true" hidden="false" outlineLevel="0" max="4" min="4" style="0" width="60"/>
    <col collapsed="false" customWidth="true" hidden="false" outlineLevel="0" max="5" min="5" style="0" width="54.99"/>
    <col collapsed="false" customWidth="true" hidden="false" outlineLevel="0" max="7" min="6" style="0" width="16"/>
    <col collapsed="false" customWidth="true" hidden="false" outlineLevel="0" max="8" min="8" style="0" width="14.01"/>
    <col collapsed="false" customWidth="true" hidden="false" outlineLevel="0" max="9" min="9" style="0" width="90.01"/>
    <col collapsed="false" customWidth="true" hidden="false" outlineLevel="0" max="10" min="10" style="0" width="54.99"/>
    <col collapsed="false" customWidth="true" hidden="false" outlineLevel="0" max="11" min="11" style="0" width="18"/>
    <col collapsed="false" customWidth="true" hidden="false" outlineLevel="0" max="13" min="12" style="0" width="16"/>
    <col collapsed="false" customWidth="true" hidden="false" outlineLevel="0" max="14" min="14" style="0" width="37.99"/>
    <col collapsed="false" customWidth="true" hidden="false" outlineLevel="0" max="15" min="15" style="0" width="27.99"/>
  </cols>
  <sheetData>
    <row r="1" customFormat="false" ht="30" hidden="false" customHeight="true" outlineLevel="0" collapsed="false">
      <c r="A1" s="1" t="s">
        <v>0</v>
      </c>
      <c r="B1" s="1"/>
      <c r="C1" s="1"/>
      <c r="D1" s="1"/>
      <c r="E1" s="1"/>
      <c r="F1" s="1"/>
      <c r="G1" s="1"/>
      <c r="H1" s="1"/>
      <c r="I1" s="1"/>
      <c r="J1" s="1"/>
      <c r="K1" s="1"/>
      <c r="L1" s="1"/>
      <c r="M1" s="1"/>
      <c r="N1" s="1"/>
      <c r="O1" s="1"/>
    </row>
    <row r="2" customFormat="false" ht="15" hidden="false" customHeight="false" outlineLevel="0" collapsed="false">
      <c r="A2" s="2" t="s">
        <v>1</v>
      </c>
      <c r="B2" s="2" t="s">
        <v>2</v>
      </c>
      <c r="C2" s="2" t="s">
        <v>3</v>
      </c>
      <c r="D2" s="2" t="s">
        <v>4</v>
      </c>
      <c r="E2" s="2" t="s">
        <v>5</v>
      </c>
      <c r="F2" s="2" t="s">
        <v>6</v>
      </c>
      <c r="G2" s="2" t="s">
        <v>7</v>
      </c>
      <c r="H2" s="2" t="s">
        <v>8</v>
      </c>
      <c r="I2" s="2" t="s">
        <v>9</v>
      </c>
      <c r="J2" s="2" t="s">
        <v>10</v>
      </c>
      <c r="K2" s="2" t="s">
        <v>11</v>
      </c>
      <c r="L2" s="2" t="s">
        <v>12</v>
      </c>
      <c r="M2" s="2" t="s">
        <v>13</v>
      </c>
      <c r="N2" s="2" t="s">
        <v>14</v>
      </c>
      <c r="O2" s="2" t="s">
        <v>15</v>
      </c>
    </row>
    <row r="3" customFormat="false" ht="139.5" hidden="false" customHeight="true" outlineLevel="0" collapsed="false">
      <c r="A3" s="3" t="s">
        <v>16</v>
      </c>
      <c r="B3" s="3" t="s">
        <v>17</v>
      </c>
      <c r="C3" s="3" t="s">
        <v>18</v>
      </c>
      <c r="D3" s="3" t="s">
        <v>19</v>
      </c>
      <c r="E3" s="3" t="s">
        <v>20</v>
      </c>
      <c r="F3" s="3" t="n">
        <v>5</v>
      </c>
      <c r="G3" s="3" t="n">
        <v>5</v>
      </c>
      <c r="H3" s="4" t="n">
        <f aca="false">F3*G3</f>
        <v>25</v>
      </c>
      <c r="I3" s="3" t="s">
        <v>21</v>
      </c>
      <c r="J3" s="3" t="s">
        <v>22</v>
      </c>
      <c r="K3" s="3" t="n">
        <v>2</v>
      </c>
      <c r="L3" s="3" t="n">
        <v>5</v>
      </c>
      <c r="M3" s="4" t="n">
        <f aca="false">K3*L3</f>
        <v>10</v>
      </c>
      <c r="N3" s="3" t="s">
        <v>23</v>
      </c>
      <c r="O3" s="3" t="s">
        <v>24</v>
      </c>
    </row>
    <row r="4" customFormat="false" ht="139.5" hidden="false" customHeight="true" outlineLevel="0" collapsed="false">
      <c r="A4" s="3" t="s">
        <v>25</v>
      </c>
      <c r="B4" s="3" t="s">
        <v>26</v>
      </c>
      <c r="C4" s="3" t="s">
        <v>27</v>
      </c>
      <c r="D4" s="3" t="s">
        <v>28</v>
      </c>
      <c r="E4" s="3" t="s">
        <v>29</v>
      </c>
      <c r="F4" s="3" t="n">
        <v>4</v>
      </c>
      <c r="G4" s="3" t="n">
        <v>5</v>
      </c>
      <c r="H4" s="4" t="n">
        <f aca="false">F4*G4</f>
        <v>20</v>
      </c>
      <c r="I4" s="3" t="s">
        <v>30</v>
      </c>
      <c r="J4" s="3" t="s">
        <v>31</v>
      </c>
      <c r="K4" s="3" t="n">
        <v>2</v>
      </c>
      <c r="L4" s="3" t="n">
        <v>4</v>
      </c>
      <c r="M4" s="4" t="n">
        <f aca="false">K4*L4</f>
        <v>8</v>
      </c>
      <c r="N4" s="3" t="s">
        <v>32</v>
      </c>
      <c r="O4" s="3" t="s">
        <v>33</v>
      </c>
    </row>
    <row r="5" customFormat="false" ht="139.5" hidden="false" customHeight="true" outlineLevel="0" collapsed="false">
      <c r="A5" s="3" t="s">
        <v>34</v>
      </c>
      <c r="B5" s="3" t="s">
        <v>35</v>
      </c>
      <c r="C5" s="3" t="s">
        <v>36</v>
      </c>
      <c r="D5" s="3" t="s">
        <v>37</v>
      </c>
      <c r="E5" s="3" t="s">
        <v>38</v>
      </c>
      <c r="F5" s="3" t="n">
        <v>4</v>
      </c>
      <c r="G5" s="3" t="n">
        <v>5</v>
      </c>
      <c r="H5" s="4" t="n">
        <f aca="false">F5*G5</f>
        <v>20</v>
      </c>
      <c r="I5" s="3" t="s">
        <v>39</v>
      </c>
      <c r="J5" s="3" t="s">
        <v>40</v>
      </c>
      <c r="K5" s="3" t="n">
        <v>2</v>
      </c>
      <c r="L5" s="3" t="n">
        <v>4</v>
      </c>
      <c r="M5" s="4" t="n">
        <f aca="false">K5*L5</f>
        <v>8</v>
      </c>
      <c r="N5" s="3" t="s">
        <v>41</v>
      </c>
      <c r="O5" s="3" t="s">
        <v>42</v>
      </c>
    </row>
    <row r="6" customFormat="false" ht="139.5" hidden="false" customHeight="true" outlineLevel="0" collapsed="false">
      <c r="A6" s="3" t="s">
        <v>43</v>
      </c>
      <c r="B6" s="3" t="s">
        <v>44</v>
      </c>
      <c r="C6" s="3" t="s">
        <v>45</v>
      </c>
      <c r="D6" s="3" t="s">
        <v>46</v>
      </c>
      <c r="E6" s="3" t="s">
        <v>47</v>
      </c>
      <c r="F6" s="3" t="n">
        <v>3</v>
      </c>
      <c r="G6" s="3" t="n">
        <v>5</v>
      </c>
      <c r="H6" s="4" t="n">
        <f aca="false">F6*G6</f>
        <v>15</v>
      </c>
      <c r="I6" s="3" t="s">
        <v>48</v>
      </c>
      <c r="J6" s="3" t="s">
        <v>49</v>
      </c>
      <c r="K6" s="3" t="n">
        <v>1</v>
      </c>
      <c r="L6" s="3" t="n">
        <v>5</v>
      </c>
      <c r="M6" s="4" t="n">
        <f aca="false">K6*L6</f>
        <v>5</v>
      </c>
      <c r="N6" s="3" t="s">
        <v>50</v>
      </c>
      <c r="O6" s="3" t="s">
        <v>51</v>
      </c>
    </row>
    <row r="7" customFormat="false" ht="139.5" hidden="false" customHeight="true" outlineLevel="0" collapsed="false">
      <c r="A7" s="3" t="s">
        <v>52</v>
      </c>
      <c r="B7" s="3" t="s">
        <v>53</v>
      </c>
      <c r="C7" s="3" t="s">
        <v>54</v>
      </c>
      <c r="D7" s="3" t="s">
        <v>55</v>
      </c>
      <c r="E7" s="3" t="s">
        <v>56</v>
      </c>
      <c r="F7" s="3" t="n">
        <v>4</v>
      </c>
      <c r="G7" s="3" t="n">
        <v>4</v>
      </c>
      <c r="H7" s="4" t="n">
        <f aca="false">F7*G7</f>
        <v>16</v>
      </c>
      <c r="I7" s="3" t="s">
        <v>57</v>
      </c>
      <c r="J7" s="3" t="s">
        <v>58</v>
      </c>
      <c r="K7" s="3" t="n">
        <v>2</v>
      </c>
      <c r="L7" s="3" t="n">
        <v>4</v>
      </c>
      <c r="M7" s="4" t="n">
        <f aca="false">K7*L7</f>
        <v>8</v>
      </c>
      <c r="N7" s="3" t="s">
        <v>59</v>
      </c>
      <c r="O7" s="3" t="s">
        <v>24</v>
      </c>
    </row>
  </sheetData>
  <mergeCells count="1">
    <mergeCell ref="A1:O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E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875" defaultRowHeight="15" zeroHeight="false" outlineLevelRow="0" outlineLevelCol="0"/>
  <cols>
    <col collapsed="false" customWidth="true" hidden="false" outlineLevel="0" max="1" min="1" style="0" width="15"/>
    <col collapsed="false" customWidth="true" hidden="false" outlineLevel="0" max="2" min="2" style="0" width="30.01"/>
    <col collapsed="false" customWidth="true" hidden="false" outlineLevel="0" max="3" min="3" style="0" width="60"/>
  </cols>
  <sheetData>
    <row r="1" customFormat="false" ht="15" hidden="false" customHeight="false" outlineLevel="0" collapsed="false">
      <c r="A1" s="5" t="s">
        <v>60</v>
      </c>
      <c r="B1" s="5"/>
      <c r="C1" s="5"/>
      <c r="D1" s="5"/>
      <c r="E1" s="5"/>
    </row>
    <row r="3" customFormat="false" ht="15" hidden="false" customHeight="false" outlineLevel="0" collapsed="false">
      <c r="A3" s="6" t="s">
        <v>61</v>
      </c>
    </row>
    <row r="4" customFormat="false" ht="15" hidden="false" customHeight="false" outlineLevel="0" collapsed="false">
      <c r="A4" s="7" t="s">
        <v>62</v>
      </c>
      <c r="B4" s="7" t="s">
        <v>63</v>
      </c>
      <c r="C4" s="7" t="s">
        <v>64</v>
      </c>
    </row>
    <row r="5" customFormat="false" ht="15" hidden="false" customHeight="false" outlineLevel="0" collapsed="false">
      <c r="A5" s="8" t="n">
        <v>1</v>
      </c>
      <c r="B5" s="8" t="s">
        <v>65</v>
      </c>
      <c r="C5" s="8" t="s">
        <v>66</v>
      </c>
    </row>
    <row r="6" customFormat="false" ht="15" hidden="false" customHeight="false" outlineLevel="0" collapsed="false">
      <c r="A6" s="8" t="n">
        <v>2</v>
      </c>
      <c r="B6" s="8" t="s">
        <v>67</v>
      </c>
      <c r="C6" s="8" t="s">
        <v>68</v>
      </c>
    </row>
    <row r="7" customFormat="false" ht="15" hidden="false" customHeight="false" outlineLevel="0" collapsed="false">
      <c r="A7" s="8" t="n">
        <v>3</v>
      </c>
      <c r="B7" s="8" t="s">
        <v>69</v>
      </c>
      <c r="C7" s="8" t="s">
        <v>70</v>
      </c>
    </row>
    <row r="8" customFormat="false" ht="15" hidden="false" customHeight="false" outlineLevel="0" collapsed="false">
      <c r="A8" s="8" t="n">
        <v>4</v>
      </c>
      <c r="B8" s="8" t="s">
        <v>71</v>
      </c>
      <c r="C8" s="8" t="s">
        <v>72</v>
      </c>
    </row>
    <row r="9" customFormat="false" ht="15" hidden="false" customHeight="false" outlineLevel="0" collapsed="false">
      <c r="A9" s="8" t="n">
        <v>5</v>
      </c>
      <c r="B9" s="8" t="s">
        <v>73</v>
      </c>
      <c r="C9" s="8" t="s">
        <v>74</v>
      </c>
    </row>
    <row r="10" customFormat="false" ht="15" hidden="false" customHeight="false" outlineLevel="0" collapsed="false">
      <c r="A10" s="6"/>
    </row>
    <row r="11" customFormat="false" ht="15" hidden="false" customHeight="false" outlineLevel="0" collapsed="false">
      <c r="A11" s="7" t="s">
        <v>75</v>
      </c>
      <c r="B11" s="7"/>
      <c r="C11" s="7"/>
    </row>
    <row r="12" customFormat="false" ht="15" hidden="false" customHeight="false" outlineLevel="0" collapsed="false">
      <c r="A12" s="8" t="s">
        <v>62</v>
      </c>
      <c r="B12" s="8" t="s">
        <v>63</v>
      </c>
      <c r="C12" s="8" t="s">
        <v>76</v>
      </c>
    </row>
    <row r="13" customFormat="false" ht="15" hidden="false" customHeight="false" outlineLevel="0" collapsed="false">
      <c r="A13" s="8" t="n">
        <v>1</v>
      </c>
      <c r="B13" s="8" t="s">
        <v>77</v>
      </c>
      <c r="C13" s="8" t="s">
        <v>78</v>
      </c>
    </row>
    <row r="14" customFormat="false" ht="15" hidden="false" customHeight="false" outlineLevel="0" collapsed="false">
      <c r="A14" s="8" t="n">
        <v>2</v>
      </c>
      <c r="B14" s="8" t="s">
        <v>79</v>
      </c>
      <c r="C14" s="8" t="s">
        <v>80</v>
      </c>
    </row>
    <row r="15" customFormat="false" ht="15" hidden="false" customHeight="false" outlineLevel="0" collapsed="false">
      <c r="A15" s="8" t="n">
        <v>3</v>
      </c>
      <c r="B15" s="8" t="s">
        <v>81</v>
      </c>
      <c r="C15" s="8" t="s">
        <v>82</v>
      </c>
    </row>
    <row r="16" customFormat="false" ht="15" hidden="false" customHeight="false" outlineLevel="0" collapsed="false">
      <c r="A16" s="8" t="n">
        <v>4</v>
      </c>
      <c r="B16" s="8" t="s">
        <v>83</v>
      </c>
      <c r="C16" s="8" t="s">
        <v>84</v>
      </c>
    </row>
    <row r="17" customFormat="false" ht="15" hidden="false" customHeight="false" outlineLevel="0" collapsed="false">
      <c r="A17" s="6" t="n">
        <v>5</v>
      </c>
      <c r="B17" s="0" t="s">
        <v>85</v>
      </c>
      <c r="C17" s="0" t="s">
        <v>86</v>
      </c>
    </row>
    <row r="19" customFormat="false" ht="15" hidden="false" customHeight="false" outlineLevel="0" collapsed="false">
      <c r="A19" s="0" t="s">
        <v>87</v>
      </c>
    </row>
    <row r="20" customFormat="false" ht="15" hidden="false" customHeight="false" outlineLevel="0" collapsed="false">
      <c r="A20" s="6" t="s">
        <v>88</v>
      </c>
    </row>
    <row r="21" customFormat="false" ht="15" hidden="false" customHeight="false" outlineLevel="0" collapsed="false">
      <c r="A21" s="7"/>
      <c r="B21" s="7"/>
      <c r="C21" s="7"/>
    </row>
    <row r="22" customFormat="false" ht="15" hidden="false" customHeight="false" outlineLevel="0" collapsed="false">
      <c r="A22" s="8" t="s">
        <v>89</v>
      </c>
      <c r="B22" s="8"/>
      <c r="C22" s="9"/>
    </row>
    <row r="23" customFormat="false" ht="15" hidden="false" customHeight="false" outlineLevel="0" collapsed="false">
      <c r="A23" s="8" t="s">
        <v>90</v>
      </c>
      <c r="B23" s="8" t="s">
        <v>91</v>
      </c>
      <c r="C23" s="10" t="s">
        <v>92</v>
      </c>
    </row>
    <row r="24" customFormat="false" ht="15" hidden="false" customHeight="false" outlineLevel="0" collapsed="false">
      <c r="A24" s="8" t="s">
        <v>93</v>
      </c>
      <c r="B24" s="8" t="s">
        <v>67</v>
      </c>
      <c r="C24" s="11" t="s">
        <v>94</v>
      </c>
    </row>
    <row r="25" customFormat="false" ht="15" hidden="false" customHeight="false" outlineLevel="0" collapsed="false">
      <c r="A25" s="0" t="s">
        <v>95</v>
      </c>
      <c r="B25" s="0" t="s">
        <v>69</v>
      </c>
      <c r="C25" s="0" t="s">
        <v>96</v>
      </c>
    </row>
    <row r="26" customFormat="false" ht="15" hidden="false" customHeight="false" outlineLevel="0" collapsed="false">
      <c r="A26" s="0" t="s">
        <v>97</v>
      </c>
      <c r="B26" s="0" t="s">
        <v>71</v>
      </c>
      <c r="C26" s="0" t="s">
        <v>98</v>
      </c>
    </row>
  </sheetData>
  <mergeCells count="1">
    <mergeCell ref="A1:E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2026-05-26T21:09:53Z</dcterms:created>
  <dc:creator>openpyxl</dc:creator>
  <dc:description/>
  <dc:language>en-US</dc:language>
  <cp:lastModifiedBy/>
  <dcterms:modified xsi:type="dcterms:W3CDTF">2026-05-26T21:09:53Z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